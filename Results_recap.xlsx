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ry\Documents\UNIBO_MAGISTRALE\1ab_ComputerVision\PROJECT_cv\"/>
    </mc:Choice>
  </mc:AlternateContent>
  <xr:revisionPtr revIDLastSave="0" documentId="13_ncr:1_{AF2839B9-33D7-43BA-A0D5-EF0CC079221D}" xr6:coauthVersionLast="47" xr6:coauthVersionMax="47" xr10:uidLastSave="{00000000-0000-0000-0000-000000000000}"/>
  <bookViews>
    <workbookView xWindow="-120" yWindow="-120" windowWidth="29040" windowHeight="16440" xr2:uid="{25B3F2C4-22F2-4F65-9AE7-FD506BE29DA3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6" i="1" l="1"/>
  <c r="I16" i="1"/>
  <c r="G16" i="1"/>
  <c r="D16" i="1"/>
  <c r="E16" i="1"/>
  <c r="C16" i="1"/>
  <c r="M12" i="1"/>
  <c r="M13" i="1"/>
  <c r="M14" i="1"/>
  <c r="L14" i="1"/>
  <c r="L12" i="1"/>
  <c r="L13" i="1"/>
  <c r="M4" i="1"/>
  <c r="M16" i="1" s="1"/>
  <c r="L4" i="1"/>
  <c r="L16" i="1" s="1"/>
  <c r="M11" i="1"/>
  <c r="L11" i="1"/>
  <c r="N11" i="1" s="1"/>
  <c r="M5" i="1"/>
  <c r="M6" i="1"/>
  <c r="M7" i="1"/>
  <c r="M10" i="1"/>
  <c r="M9" i="1"/>
  <c r="L5" i="1"/>
  <c r="L6" i="1"/>
  <c r="L7" i="1"/>
  <c r="L10" i="1"/>
  <c r="L9" i="1"/>
  <c r="N4" i="1" l="1"/>
  <c r="N6" i="1"/>
  <c r="N5" i="1"/>
  <c r="N14" i="1"/>
  <c r="N13" i="1"/>
  <c r="N12" i="1"/>
  <c r="N10" i="1"/>
  <c r="N7" i="1"/>
  <c r="N16" i="1" s="1"/>
  <c r="N9" i="1"/>
</calcChain>
</file>

<file path=xl/sharedStrings.xml><?xml version="1.0" encoding="utf-8"?>
<sst xmlns="http://schemas.openxmlformats.org/spreadsheetml/2006/main" count="55" uniqueCount="25">
  <si>
    <t>x</t>
  </si>
  <si>
    <t>y</t>
  </si>
  <si>
    <t>diameter</t>
  </si>
  <si>
    <t>d_17</t>
  </si>
  <si>
    <t>d_18</t>
  </si>
  <si>
    <t>d_19</t>
  </si>
  <si>
    <t>d_20</t>
  </si>
  <si>
    <t>d_31</t>
  </si>
  <si>
    <t>g_01</t>
  </si>
  <si>
    <t>g_02</t>
  </si>
  <si>
    <t>g_03</t>
  </si>
  <si>
    <t>g_04</t>
  </si>
  <si>
    <t>g_05</t>
  </si>
  <si>
    <t>g_06</t>
  </si>
  <si>
    <t>YES</t>
  </si>
  <si>
    <t>NO</t>
  </si>
  <si>
    <t>-</t>
  </si>
  <si>
    <t>Image</t>
  </si>
  <si>
    <t>Cap mouth data (in pixels)</t>
  </si>
  <si>
    <t>Liner data (in pixels)</t>
  </si>
  <si>
    <t>Liner found?</t>
  </si>
  <si>
    <t>Defect found?</t>
  </si>
  <si>
    <t>Cap-Liner centers coordinate offset</t>
  </si>
  <si>
    <t>Cap-Liner centers distance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</si>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</sst>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0.0"/>
  </numFmts>
  <fonts count="5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u/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 applyBorder="1"/>
    <xf numFmtId="0" fontId="2" fillId="0" borderId="0" xfId="0" applyFont="1" applyBorder="1" applyAlignment="1">
      <alignment wrapText="1"/>
    </xf>
    <xf numFmtId="0" fontId="2" fillId="0" borderId="0" xfId="0" applyFont="1" applyFill="1" applyBorder="1"/>
    <xf numFmtId="0" fontId="2" fillId="0" borderId="0" xfId="0" applyFont="1" applyFill="1" applyBorder="1" applyAlignment="1">
      <alignment wrapText="1"/>
    </xf>
    <xf numFmtId="0" fontId="3" fillId="0" borderId="1" xfId="0" applyFont="1" applyFill="1" applyBorder="1" applyAlignment="1">
      <alignment horizontal="center" wrapText="1"/>
    </xf>
    <xf numFmtId="0" fontId="3" fillId="0" borderId="2" xfId="0" applyFont="1" applyFill="1" applyBorder="1" applyAlignment="1">
      <alignment horizontal="center" wrapText="1"/>
    </xf>
    <xf numFmtId="0" fontId="3" fillId="0" borderId="2" xfId="0" applyFont="1" applyFill="1" applyBorder="1" applyAlignment="1">
      <alignment horizontal="center" wrapText="1"/>
    </xf>
    <xf numFmtId="0" fontId="3" fillId="0" borderId="2" xfId="0" applyFont="1" applyFill="1" applyBorder="1" applyAlignment="1">
      <alignment wrapText="1"/>
    </xf>
    <xf numFmtId="0" fontId="3" fillId="0" borderId="3" xfId="0" applyFont="1" applyFill="1" applyBorder="1" applyAlignment="1">
      <alignment horizontal="center" wrapText="1"/>
    </xf>
    <xf numFmtId="0" fontId="2" fillId="0" borderId="4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2" fillId="0" borderId="5" xfId="0" applyFont="1" applyFill="1" applyBorder="1"/>
    <xf numFmtId="178" fontId="2" fillId="0" borderId="0" xfId="0" applyNumberFormat="1" applyFont="1" applyFill="1" applyBorder="1"/>
    <xf numFmtId="2" fontId="2" fillId="0" borderId="5" xfId="0" applyNumberFormat="1" applyFont="1" applyFill="1" applyBorder="1"/>
    <xf numFmtId="0" fontId="2" fillId="0" borderId="4" xfId="0" applyFont="1" applyFill="1" applyBorder="1"/>
    <xf numFmtId="0" fontId="3" fillId="0" borderId="6" xfId="0" applyFont="1" applyFill="1" applyBorder="1"/>
    <xf numFmtId="178" fontId="2" fillId="0" borderId="7" xfId="0" applyNumberFormat="1" applyFont="1" applyFill="1" applyBorder="1"/>
    <xf numFmtId="0" fontId="2" fillId="0" borderId="7" xfId="0" applyFont="1" applyFill="1" applyBorder="1"/>
    <xf numFmtId="2" fontId="2" fillId="0" borderId="8" xfId="0" applyNumberFormat="1" applyFont="1" applyFill="1" applyBorder="1"/>
    <xf numFmtId="2" fontId="2" fillId="0" borderId="0" xfId="0" applyNumberFormat="1" applyFont="1" applyFill="1" applyBorder="1"/>
    <xf numFmtId="0" fontId="4" fillId="0" borderId="0" xfId="0" applyFont="1" applyFill="1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725CB-D241-413D-9FF6-23406F776739}">
  <dimension ref="A1:O22"/>
  <sheetViews>
    <sheetView tabSelected="1" zoomScale="140" zoomScaleNormal="140" workbookViewId="0">
      <selection activeCell="D21" sqref="D21"/>
    </sheetView>
  </sheetViews>
  <sheetFormatPr defaultRowHeight="15" x14ac:dyDescent="0.25"/>
  <cols>
    <col min="1" max="2" width="9.140625" style="1"/>
    <col min="3" max="3" width="9.85546875" style="1" customWidth="1"/>
    <col min="4" max="5" width="10.42578125" style="1" customWidth="1"/>
    <col min="6" max="6" width="7.7109375" style="1" customWidth="1"/>
    <col min="7" max="7" width="10.5703125" style="1" customWidth="1"/>
    <col min="8" max="8" width="10.42578125" style="1" customWidth="1"/>
    <col min="9" max="9" width="10.7109375" style="1" customWidth="1"/>
    <col min="10" max="10" width="8" style="1" customWidth="1"/>
    <col min="11" max="11" width="1" style="1" customWidth="1"/>
    <col min="12" max="12" width="11.7109375" style="1" customWidth="1"/>
    <col min="13" max="13" width="12.42578125" style="1" customWidth="1"/>
    <col min="14" max="14" width="18.85546875" style="1" customWidth="1"/>
    <col min="15" max="16384" width="9.140625" style="1"/>
  </cols>
  <sheetData>
    <row r="1" spans="1:15" ht="15.75" thickBot="1" x14ac:dyDescent="0.3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spans="1:15" s="2" customFormat="1" ht="30" customHeight="1" x14ac:dyDescent="0.25">
      <c r="A2" s="4"/>
      <c r="B2" s="5" t="s">
        <v>17</v>
      </c>
      <c r="C2" s="6" t="s">
        <v>18</v>
      </c>
      <c r="D2" s="6"/>
      <c r="E2" s="6"/>
      <c r="F2" s="7" t="s">
        <v>20</v>
      </c>
      <c r="G2" s="6" t="s">
        <v>19</v>
      </c>
      <c r="H2" s="6"/>
      <c r="I2" s="6"/>
      <c r="J2" s="7" t="s">
        <v>21</v>
      </c>
      <c r="K2" s="8"/>
      <c r="L2" s="6" t="s">
        <v>22</v>
      </c>
      <c r="M2" s="6"/>
      <c r="N2" s="9" t="s">
        <v>23</v>
      </c>
      <c r="O2" s="4"/>
    </row>
    <row r="3" spans="1:15" x14ac:dyDescent="0.25">
      <c r="A3" s="3"/>
      <c r="B3" s="10"/>
      <c r="C3" s="11" t="s">
        <v>0</v>
      </c>
      <c r="D3" s="11" t="s">
        <v>1</v>
      </c>
      <c r="E3" s="11" t="s">
        <v>2</v>
      </c>
      <c r="F3" s="11"/>
      <c r="G3" s="11" t="s">
        <v>0</v>
      </c>
      <c r="H3" s="11" t="s">
        <v>1</v>
      </c>
      <c r="I3" s="11" t="s">
        <v>2</v>
      </c>
      <c r="J3" s="11"/>
      <c r="K3" s="3"/>
      <c r="L3" s="11" t="s">
        <v>0</v>
      </c>
      <c r="M3" s="11" t="s">
        <v>1</v>
      </c>
      <c r="N3" s="12"/>
      <c r="O3" s="3"/>
    </row>
    <row r="4" spans="1:15" x14ac:dyDescent="0.25">
      <c r="A4" s="3"/>
      <c r="B4" s="10" t="s">
        <v>3</v>
      </c>
      <c r="C4" s="13">
        <v>386.5</v>
      </c>
      <c r="D4" s="13">
        <v>283.5</v>
      </c>
      <c r="E4" s="13">
        <v>505.6</v>
      </c>
      <c r="F4" s="11" t="s">
        <v>14</v>
      </c>
      <c r="G4" s="13">
        <v>385.5</v>
      </c>
      <c r="H4" s="13">
        <v>287.5</v>
      </c>
      <c r="I4" s="13">
        <v>369.8</v>
      </c>
      <c r="J4" s="11" t="s">
        <v>14</v>
      </c>
      <c r="K4" s="3"/>
      <c r="L4" s="3">
        <f t="shared" ref="L4:L14" si="0">ABS(C4-G4)</f>
        <v>1</v>
      </c>
      <c r="M4" s="3">
        <f t="shared" ref="M4:M14" si="1">ABS(D4-H4)</f>
        <v>4</v>
      </c>
      <c r="N4" s="14">
        <f t="shared" ref="N4:N7" si="2">SQRT(L4^2+M4^2)</f>
        <v>4.1231056256176606</v>
      </c>
      <c r="O4" s="3"/>
    </row>
    <row r="5" spans="1:15" x14ac:dyDescent="0.25">
      <c r="A5" s="3"/>
      <c r="B5" s="10" t="s">
        <v>4</v>
      </c>
      <c r="C5" s="13">
        <v>382.5</v>
      </c>
      <c r="D5" s="13">
        <v>287.5</v>
      </c>
      <c r="E5" s="13">
        <v>509.2</v>
      </c>
      <c r="F5" s="11" t="s">
        <v>14</v>
      </c>
      <c r="G5" s="13">
        <v>383.5</v>
      </c>
      <c r="H5" s="13">
        <v>285.5</v>
      </c>
      <c r="I5" s="13">
        <v>375.8</v>
      </c>
      <c r="J5" s="11" t="s">
        <v>14</v>
      </c>
      <c r="K5" s="3"/>
      <c r="L5" s="3">
        <f t="shared" si="0"/>
        <v>1</v>
      </c>
      <c r="M5" s="3">
        <f t="shared" si="1"/>
        <v>2</v>
      </c>
      <c r="N5" s="14">
        <f t="shared" si="2"/>
        <v>2.2360679774997898</v>
      </c>
      <c r="O5" s="3"/>
    </row>
    <row r="6" spans="1:15" x14ac:dyDescent="0.25">
      <c r="A6" s="3"/>
      <c r="B6" s="10" t="s">
        <v>5</v>
      </c>
      <c r="C6" s="13">
        <v>382.5</v>
      </c>
      <c r="D6" s="13">
        <v>286.5</v>
      </c>
      <c r="E6" s="13">
        <v>505.8</v>
      </c>
      <c r="F6" s="11" t="s">
        <v>14</v>
      </c>
      <c r="G6" s="13">
        <v>383.5</v>
      </c>
      <c r="H6" s="13">
        <v>287.5</v>
      </c>
      <c r="I6" s="13">
        <v>371.4</v>
      </c>
      <c r="J6" s="11" t="s">
        <v>14</v>
      </c>
      <c r="K6" s="3"/>
      <c r="L6" s="3">
        <f t="shared" si="0"/>
        <v>1</v>
      </c>
      <c r="M6" s="3">
        <f t="shared" si="1"/>
        <v>1</v>
      </c>
      <c r="N6" s="14">
        <f t="shared" si="2"/>
        <v>1.4142135623730951</v>
      </c>
      <c r="O6" s="3"/>
    </row>
    <row r="7" spans="1:15" x14ac:dyDescent="0.25">
      <c r="A7" s="3"/>
      <c r="B7" s="10" t="s">
        <v>6</v>
      </c>
      <c r="C7" s="13">
        <v>384.5</v>
      </c>
      <c r="D7" s="13">
        <v>290.5</v>
      </c>
      <c r="E7" s="13">
        <v>507</v>
      </c>
      <c r="F7" s="11" t="s">
        <v>14</v>
      </c>
      <c r="G7" s="13">
        <v>383.5</v>
      </c>
      <c r="H7" s="13">
        <v>294.5</v>
      </c>
      <c r="I7" s="13">
        <v>372.8</v>
      </c>
      <c r="J7" s="11" t="s">
        <v>14</v>
      </c>
      <c r="K7" s="3"/>
      <c r="L7" s="3">
        <f t="shared" si="0"/>
        <v>1</v>
      </c>
      <c r="M7" s="3">
        <f t="shared" si="1"/>
        <v>4</v>
      </c>
      <c r="N7" s="14">
        <f t="shared" si="2"/>
        <v>4.1231056256176606</v>
      </c>
      <c r="O7" s="3"/>
    </row>
    <row r="8" spans="1:15" x14ac:dyDescent="0.25">
      <c r="A8" s="3"/>
      <c r="B8" s="10" t="s">
        <v>7</v>
      </c>
      <c r="C8" s="13">
        <v>380.5</v>
      </c>
      <c r="D8" s="13">
        <v>285.5</v>
      </c>
      <c r="E8" s="13">
        <v>511.2</v>
      </c>
      <c r="F8" s="11" t="s">
        <v>15</v>
      </c>
      <c r="G8" s="13" t="s">
        <v>16</v>
      </c>
      <c r="H8" s="13" t="s">
        <v>16</v>
      </c>
      <c r="I8" s="13" t="s">
        <v>16</v>
      </c>
      <c r="J8" s="11" t="s">
        <v>16</v>
      </c>
      <c r="K8" s="3"/>
      <c r="L8" s="3" t="s">
        <v>16</v>
      </c>
      <c r="M8" s="3" t="s">
        <v>16</v>
      </c>
      <c r="N8" s="14" t="s">
        <v>16</v>
      </c>
      <c r="O8" s="3"/>
    </row>
    <row r="9" spans="1:15" x14ac:dyDescent="0.25">
      <c r="A9" s="3"/>
      <c r="B9" s="10" t="s">
        <v>8</v>
      </c>
      <c r="C9" s="13">
        <v>387.5</v>
      </c>
      <c r="D9" s="13">
        <v>285.5</v>
      </c>
      <c r="E9" s="13">
        <v>507.6</v>
      </c>
      <c r="F9" s="11" t="s">
        <v>14</v>
      </c>
      <c r="G9" s="13">
        <v>390.5</v>
      </c>
      <c r="H9" s="13">
        <v>285.5</v>
      </c>
      <c r="I9" s="13">
        <v>372.4</v>
      </c>
      <c r="J9" s="11" t="s">
        <v>15</v>
      </c>
      <c r="K9" s="3"/>
      <c r="L9" s="3">
        <f>ABS(C9-G9)</f>
        <v>3</v>
      </c>
      <c r="M9" s="3">
        <f>ABS(D9-H9)</f>
        <v>0</v>
      </c>
      <c r="N9" s="14">
        <f>SQRT(L9^2+M9^2)</f>
        <v>3</v>
      </c>
      <c r="O9" s="3"/>
    </row>
    <row r="10" spans="1:15" x14ac:dyDescent="0.25">
      <c r="A10" s="3"/>
      <c r="B10" s="10" t="s">
        <v>9</v>
      </c>
      <c r="C10" s="13">
        <v>385.5</v>
      </c>
      <c r="D10" s="13">
        <v>285.5</v>
      </c>
      <c r="E10" s="13">
        <v>508.8</v>
      </c>
      <c r="F10" s="11" t="s">
        <v>14</v>
      </c>
      <c r="G10" s="13">
        <v>381.5</v>
      </c>
      <c r="H10" s="13">
        <v>285.5</v>
      </c>
      <c r="I10" s="13">
        <v>375.6</v>
      </c>
      <c r="J10" s="11" t="s">
        <v>15</v>
      </c>
      <c r="K10" s="3"/>
      <c r="L10" s="3">
        <f t="shared" si="0"/>
        <v>4</v>
      </c>
      <c r="M10" s="3">
        <f t="shared" si="1"/>
        <v>0</v>
      </c>
      <c r="N10" s="14">
        <f t="shared" ref="N10:N14" si="3">SQRT(L10^2+M10^2)</f>
        <v>4</v>
      </c>
      <c r="O10" s="3"/>
    </row>
    <row r="11" spans="1:15" x14ac:dyDescent="0.25">
      <c r="A11" s="3"/>
      <c r="B11" s="10" t="s">
        <v>10</v>
      </c>
      <c r="C11" s="13">
        <v>381.5</v>
      </c>
      <c r="D11" s="13">
        <v>291.5</v>
      </c>
      <c r="E11" s="13">
        <v>509</v>
      </c>
      <c r="F11" s="11" t="s">
        <v>14</v>
      </c>
      <c r="G11" s="13">
        <v>378.5</v>
      </c>
      <c r="H11" s="13">
        <v>288.5</v>
      </c>
      <c r="I11" s="13">
        <v>375.2</v>
      </c>
      <c r="J11" s="11" t="s">
        <v>15</v>
      </c>
      <c r="K11" s="3"/>
      <c r="L11" s="3">
        <f t="shared" si="0"/>
        <v>3</v>
      </c>
      <c r="M11" s="3">
        <f t="shared" si="1"/>
        <v>3</v>
      </c>
      <c r="N11" s="14">
        <f t="shared" si="3"/>
        <v>4.2426406871192848</v>
      </c>
      <c r="O11" s="3"/>
    </row>
    <row r="12" spans="1:15" x14ac:dyDescent="0.25">
      <c r="A12" s="3"/>
      <c r="B12" s="10" t="s">
        <v>11</v>
      </c>
      <c r="C12" s="13">
        <v>386.5</v>
      </c>
      <c r="D12" s="13">
        <v>289.5</v>
      </c>
      <c r="E12" s="13">
        <v>507.8</v>
      </c>
      <c r="F12" s="11" t="s">
        <v>14</v>
      </c>
      <c r="G12" s="13">
        <v>387.5</v>
      </c>
      <c r="H12" s="13">
        <v>289.5</v>
      </c>
      <c r="I12" s="13">
        <v>369.4</v>
      </c>
      <c r="J12" s="11" t="s">
        <v>15</v>
      </c>
      <c r="K12" s="3"/>
      <c r="L12" s="3">
        <f t="shared" si="0"/>
        <v>1</v>
      </c>
      <c r="M12" s="3">
        <f t="shared" si="1"/>
        <v>0</v>
      </c>
      <c r="N12" s="14">
        <f t="shared" si="3"/>
        <v>1</v>
      </c>
      <c r="O12" s="3"/>
    </row>
    <row r="13" spans="1:15" x14ac:dyDescent="0.25">
      <c r="A13" s="3"/>
      <c r="B13" s="10" t="s">
        <v>12</v>
      </c>
      <c r="C13" s="13">
        <v>390.5</v>
      </c>
      <c r="D13" s="13">
        <v>286.5</v>
      </c>
      <c r="E13" s="13">
        <v>508.6</v>
      </c>
      <c r="F13" s="11" t="s">
        <v>14</v>
      </c>
      <c r="G13" s="13">
        <v>390.5</v>
      </c>
      <c r="H13" s="13">
        <v>286.5</v>
      </c>
      <c r="I13" s="13">
        <v>368.4</v>
      </c>
      <c r="J13" s="11" t="s">
        <v>15</v>
      </c>
      <c r="K13" s="3"/>
      <c r="L13" s="3">
        <f t="shared" si="0"/>
        <v>0</v>
      </c>
      <c r="M13" s="3">
        <f t="shared" si="1"/>
        <v>0</v>
      </c>
      <c r="N13" s="14">
        <f t="shared" si="3"/>
        <v>0</v>
      </c>
      <c r="O13" s="3"/>
    </row>
    <row r="14" spans="1:15" x14ac:dyDescent="0.25">
      <c r="A14" s="3"/>
      <c r="B14" s="10" t="s">
        <v>13</v>
      </c>
      <c r="C14" s="13">
        <v>383.5</v>
      </c>
      <c r="D14" s="13">
        <v>288.5</v>
      </c>
      <c r="E14" s="13">
        <v>509.8</v>
      </c>
      <c r="F14" s="11" t="s">
        <v>14</v>
      </c>
      <c r="G14" s="13">
        <v>385.5</v>
      </c>
      <c r="H14" s="13">
        <v>284.5</v>
      </c>
      <c r="I14" s="13">
        <v>377.8</v>
      </c>
      <c r="J14" s="11" t="s">
        <v>15</v>
      </c>
      <c r="K14" s="3"/>
      <c r="L14" s="3">
        <f t="shared" si="0"/>
        <v>2</v>
      </c>
      <c r="M14" s="3">
        <f t="shared" si="1"/>
        <v>4</v>
      </c>
      <c r="N14" s="14">
        <f t="shared" si="3"/>
        <v>4.4721359549995796</v>
      </c>
      <c r="O14" s="3"/>
    </row>
    <row r="15" spans="1:15" ht="5.25" customHeight="1" x14ac:dyDescent="0.25">
      <c r="A15" s="3"/>
      <c r="B15" s="15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12"/>
      <c r="O15" s="3"/>
    </row>
    <row r="16" spans="1:15" ht="15.75" thickBot="1" x14ac:dyDescent="0.3">
      <c r="A16" s="3"/>
      <c r="B16" s="16" t="s">
        <v>24</v>
      </c>
      <c r="C16" s="17">
        <f>AVERAGE(C4:C14)</f>
        <v>384.68181818181819</v>
      </c>
      <c r="D16" s="17">
        <f t="shared" ref="D16:I16" si="4">AVERAGE(D4:D14)</f>
        <v>287.31818181818181</v>
      </c>
      <c r="E16" s="17">
        <f t="shared" si="4"/>
        <v>508.21818181818185</v>
      </c>
      <c r="F16" s="17"/>
      <c r="G16" s="17">
        <f t="shared" si="4"/>
        <v>385</v>
      </c>
      <c r="H16" s="17">
        <f t="shared" si="4"/>
        <v>287.5</v>
      </c>
      <c r="I16" s="17">
        <f t="shared" si="4"/>
        <v>372.86</v>
      </c>
      <c r="J16" s="18"/>
      <c r="K16" s="18"/>
      <c r="L16" s="18">
        <f>AVERAGE(L4:L14)</f>
        <v>1.7</v>
      </c>
      <c r="M16" s="18">
        <f t="shared" ref="M16:N16" si="5">AVERAGE(M4:M14)</f>
        <v>1.8</v>
      </c>
      <c r="N16" s="19">
        <f t="shared" si="5"/>
        <v>2.8611269433227067</v>
      </c>
      <c r="O16" s="3"/>
    </row>
    <row r="17" spans="1:15" x14ac:dyDescent="0.2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20"/>
      <c r="O17" s="3"/>
    </row>
    <row r="18" spans="1:15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5">
      <c r="A21" s="3"/>
      <c r="B21" s="3"/>
      <c r="C21" s="3"/>
      <c r="D21" s="21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</sheetData>
  <mergeCells count="3">
    <mergeCell ref="C2:E2"/>
    <mergeCell ref="G2:I2"/>
    <mergeCell ref="L2:M2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Lucrezia Ponti - lucrezia.ponti2@studio.unibo.it</dc:creator>
  <cp:lastModifiedBy>Lucrezia Ponti - lucrezia.ponti2@studio.unibo.it</cp:lastModifiedBy>
  <dcterms:created xsi:type="dcterms:W3CDTF">2026-04-01T07:19:59Z</dcterms:created>
  <dcterms:modified xsi:type="dcterms:W3CDTF">2026-04-01T08:03:58Z</dcterms:modified>
</cp:coreProperties>
</file>